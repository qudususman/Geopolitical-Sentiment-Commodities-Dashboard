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ocuments\"/>
    </mc:Choice>
  </mc:AlternateContent>
  <xr:revisionPtr revIDLastSave="0" documentId="8_{830507D5-3586-4072-BC13-85A1FF044C2D}" xr6:coauthVersionLast="47" xr6:coauthVersionMax="47" xr10:uidLastSave="{00000000-0000-0000-0000-000000000000}"/>
  <bookViews>
    <workbookView xWindow="-120" yWindow="-120" windowWidth="20730" windowHeight="11160" xr2:uid="{1E77979F-0D06-4BEB-9AD6-ECE6FC478A05}"/>
  </bookViews>
  <sheets>
    <sheet name="Sheet2" sheetId="2" r:id="rId1"/>
    <sheet name="Sheet1" sheetId="1" r:id="rId2"/>
  </sheets>
  <definedNames>
    <definedName name="Slicer_Market_Vibe">#N/A</definedName>
  </definedNames>
  <calcPr calcId="181029"/>
  <pivotCaches>
    <pivotCache cacheId="1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<sst xmlns="http://schemas.openxmlformats.org/spreadsheetml/2006/main" count="105" uniqueCount="50">
  <si>
    <t>Date</t>
  </si>
  <si>
    <t>scenario</t>
  </si>
  <si>
    <t>Gold price</t>
  </si>
  <si>
    <t>Market Vibe</t>
  </si>
  <si>
    <t>Market peak</t>
  </si>
  <si>
    <t>Peace talk</t>
  </si>
  <si>
    <t>Correction</t>
  </si>
  <si>
    <t>ceasefire fail</t>
  </si>
  <si>
    <t>sanction imposed</t>
  </si>
  <si>
    <t>UN security briefing</t>
  </si>
  <si>
    <t>Currency volatillity</t>
  </si>
  <si>
    <t>Boarder esclation</t>
  </si>
  <si>
    <t>oil supply freeze</t>
  </si>
  <si>
    <t>global market panic</t>
  </si>
  <si>
    <t>ceasefire fail signed</t>
  </si>
  <si>
    <t>Troops Withdraw</t>
  </si>
  <si>
    <t>Market rebound</t>
  </si>
  <si>
    <t>Assets unfrozen</t>
  </si>
  <si>
    <t>Technical correction</t>
  </si>
  <si>
    <t>Infrastructure pact</t>
  </si>
  <si>
    <t>Central bank intervention</t>
  </si>
  <si>
    <t>Economic stimulus</t>
  </si>
  <si>
    <t>Commodity stabilization</t>
  </si>
  <si>
    <t>Treaty Ratification</t>
  </si>
  <si>
    <t>logistics corridirs open</t>
  </si>
  <si>
    <t>Trade tariff reduction</t>
  </si>
  <si>
    <t>Tech Sector surge</t>
  </si>
  <si>
    <t>inflation fears strike</t>
  </si>
  <si>
    <t>Bull run resumes</t>
  </si>
  <si>
    <t xml:space="preserve">safe haven demand </t>
  </si>
  <si>
    <t>Cyber attack rumors</t>
  </si>
  <si>
    <t>Supply chain bottleneck</t>
  </si>
  <si>
    <t>Peace envoy dispacthed</t>
  </si>
  <si>
    <t>High Tension</t>
  </si>
  <si>
    <t>Cooling</t>
  </si>
  <si>
    <t>Profit Taking</t>
  </si>
  <si>
    <t>Deep Dip</t>
  </si>
  <si>
    <t>Recovery</t>
  </si>
  <si>
    <t>Row Labels</t>
  </si>
  <si>
    <t>(blank)</t>
  </si>
  <si>
    <t>Grand Total</t>
  </si>
  <si>
    <t>Average of Gold price</t>
  </si>
  <si>
    <t>Oil Impact%</t>
  </si>
  <si>
    <t>valnerability</t>
  </si>
  <si>
    <t>High</t>
  </si>
  <si>
    <t>Medium</t>
  </si>
  <si>
    <t>Low</t>
  </si>
  <si>
    <t xml:space="preserve"> </t>
  </si>
  <si>
    <t>GLOBAL COMMODITIES AND SENTIMENT</t>
  </si>
  <si>
    <t>INTELLIGENCE TERMINAL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</si>
</sst>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0" tint="-4.9989318521683403E-2"/>
      <name val="Calibri"/>
      <family val="2"/>
      <scheme val="minor"/>
    </font>
    <font>
      <sz val="11"/>
      <color theme="0" tint="-4.9989318521683403E-2"/>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44" fontId="0" fillId="0" borderId="0" xfId="1" applyFont="1"/>
    <xf numFmtId="0" fontId="3" fillId="0" borderId="0" xfId="0" applyFont="1"/>
    <xf numFmtId="0" fontId="3" fillId="2" borderId="0" xfId="0" applyFont="1" applyFill="1"/>
    <xf numFmtId="0" fontId="0" fillId="2" borderId="0" xfId="0" applyFill="1"/>
    <xf numFmtId="0" fontId="2" fillId="2" borderId="0" xfId="0" applyFont="1" applyFill="1"/>
    <xf numFmtId="0" fontId="4" fillId="2" borderId="0" xfId="0" applyFont="1" applyFill="1"/>
    <xf numFmtId="0" fontId="4" fillId="2" borderId="0" xfId="0" applyFont="1" applyFill="1" applyAlignment="1">
      <alignment horizontal="left"/>
    </xf>
    <xf numFmtId="0" fontId="5" fillId="2" borderId="0" xfId="0" applyFont="1" applyFill="1"/>
    <xf numFmtId="0" fontId="6" fillId="2" borderId="0" xfId="0" applyFont="1" applyFill="1"/>
    <xf numFmtId="0" fontId="6" fillId="2" borderId="0" xfId="0" applyNumberFormat="1" applyFont="1" applyFill="1"/>
  </cellXfs>
  <cellStyles count="2">
    <cellStyle name="Currency" xfId="1" builtinId="4"/>
    <cellStyle name="Normal" xfId="0" builtinId="0"/>
  </cellStyles>
  <dxfs count="21">
    <dxf>
      <font>
        <color theme="0" tint="-4.9989318521683403E-2"/>
      </font>
    </dxf>
    <dxf>
      <font>
        <color theme="0" tint="-4.9989318521683403E-2"/>
      </font>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Oil Impact%</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Sheet1!$B$2:$B$31</c:f>
              <c:strCache>
                <c:ptCount val="29"/>
                <c:pt idx="0">
                  <c:v>Market peak</c:v>
                </c:pt>
                <c:pt idx="1">
                  <c:v>Peace talk</c:v>
                </c:pt>
                <c:pt idx="2">
                  <c:v>Correction</c:v>
                </c:pt>
                <c:pt idx="3">
                  <c:v>ceasefire fail</c:v>
                </c:pt>
                <c:pt idx="4">
                  <c:v>sanction imposed</c:v>
                </c:pt>
                <c:pt idx="5">
                  <c:v>UN security briefing</c:v>
                </c:pt>
                <c:pt idx="6">
                  <c:v>Currency volatillity</c:v>
                </c:pt>
                <c:pt idx="7">
                  <c:v>Boarder esclation</c:v>
                </c:pt>
                <c:pt idx="8">
                  <c:v>oil supply freeze</c:v>
                </c:pt>
                <c:pt idx="9">
                  <c:v>global market panic</c:v>
                </c:pt>
                <c:pt idx="10">
                  <c:v>ceasefire fail signed</c:v>
                </c:pt>
                <c:pt idx="11">
                  <c:v>Troops Withdraw</c:v>
                </c:pt>
                <c:pt idx="12">
                  <c:v>Market rebound</c:v>
                </c:pt>
                <c:pt idx="13">
                  <c:v>Assets unfrozen</c:v>
                </c:pt>
                <c:pt idx="14">
                  <c:v>Technical correction</c:v>
                </c:pt>
                <c:pt idx="15">
                  <c:v>Infrastructure pact</c:v>
                </c:pt>
                <c:pt idx="16">
                  <c:v>Central bank intervention</c:v>
                </c:pt>
                <c:pt idx="17">
                  <c:v>Economic stimulus</c:v>
                </c:pt>
                <c:pt idx="18">
                  <c:v>Commodity stabilization</c:v>
                </c:pt>
                <c:pt idx="19">
                  <c:v>Treaty Ratification</c:v>
                </c:pt>
                <c:pt idx="20">
                  <c:v>logistics corridirs open</c:v>
                </c:pt>
                <c:pt idx="21">
                  <c:v>Trade tariff reduction</c:v>
                </c:pt>
                <c:pt idx="22">
                  <c:v>Tech Sector surge</c:v>
                </c:pt>
                <c:pt idx="23">
                  <c:v>inflation fears strike</c:v>
                </c:pt>
                <c:pt idx="24">
                  <c:v>Bull run resumes</c:v>
                </c:pt>
                <c:pt idx="25">
                  <c:v>safe haven demand </c:v>
                </c:pt>
                <c:pt idx="26">
                  <c:v>Cyber attack rumors</c:v>
                </c:pt>
                <c:pt idx="27">
                  <c:v>Supply chain bottleneck</c:v>
                </c:pt>
                <c:pt idx="28">
                  <c:v>Peace envoy dispacthed</c:v>
                </c:pt>
              </c:strCache>
            </c:strRef>
          </c:cat>
          <c:val>
            <c:numRef>
              <c:f>Sheet1!$E$2:$E$31</c:f>
              <c:numCache>
                <c:formatCode>General</c:formatCode>
                <c:ptCount val="30"/>
                <c:pt idx="0">
                  <c:v>2.5</c:v>
                </c:pt>
                <c:pt idx="1">
                  <c:v>1.8</c:v>
                </c:pt>
                <c:pt idx="2">
                  <c:v>-1.2</c:v>
                </c:pt>
                <c:pt idx="3">
                  <c:v>4.5</c:v>
                </c:pt>
                <c:pt idx="4">
                  <c:v>5.2</c:v>
                </c:pt>
                <c:pt idx="5">
                  <c:v>1.5</c:v>
                </c:pt>
                <c:pt idx="6">
                  <c:v>-0.5</c:v>
                </c:pt>
                <c:pt idx="7">
                  <c:v>5.8</c:v>
                </c:pt>
                <c:pt idx="8">
                  <c:v>6</c:v>
                </c:pt>
                <c:pt idx="9">
                  <c:v>6.7</c:v>
                </c:pt>
                <c:pt idx="10">
                  <c:v>2.4</c:v>
                </c:pt>
                <c:pt idx="11">
                  <c:v>5</c:v>
                </c:pt>
                <c:pt idx="12">
                  <c:v>4.5999999999999996</c:v>
                </c:pt>
                <c:pt idx="13">
                  <c:v>0.2</c:v>
                </c:pt>
                <c:pt idx="14">
                  <c:v>4.8</c:v>
                </c:pt>
                <c:pt idx="15">
                  <c:v>2.2999999999999998</c:v>
                </c:pt>
                <c:pt idx="16">
                  <c:v>4.3</c:v>
                </c:pt>
                <c:pt idx="17">
                  <c:v>3.4</c:v>
                </c:pt>
                <c:pt idx="18">
                  <c:v>2.1</c:v>
                </c:pt>
                <c:pt idx="19">
                  <c:v>5</c:v>
                </c:pt>
                <c:pt idx="20">
                  <c:v>4.0999999999999996</c:v>
                </c:pt>
                <c:pt idx="21">
                  <c:v>4.2</c:v>
                </c:pt>
                <c:pt idx="22">
                  <c:v>4</c:v>
                </c:pt>
                <c:pt idx="23">
                  <c:v>1.7</c:v>
                </c:pt>
                <c:pt idx="24">
                  <c:v>6.5</c:v>
                </c:pt>
                <c:pt idx="25">
                  <c:v>9</c:v>
                </c:pt>
                <c:pt idx="26">
                  <c:v>7.3</c:v>
                </c:pt>
                <c:pt idx="27">
                  <c:v>8.1999999999999993</c:v>
                </c:pt>
                <c:pt idx="28">
                  <c:v>5.5</c:v>
                </c:pt>
              </c:numCache>
            </c:numRef>
          </c:val>
          <c:extLst>
            <c:ext xmlns:c16="http://schemas.microsoft.com/office/drawing/2014/chart" uri="{C3380CC4-5D6E-409C-BE32-E72D297353CC}">
              <c16:uniqueId val="{00000000-D194-444F-91F1-0C0B5B574A0F}"/>
            </c:ext>
          </c:extLst>
        </c:ser>
        <c:dLbls>
          <c:dLblPos val="inEnd"/>
          <c:showLegendKey val="0"/>
          <c:showVal val="1"/>
          <c:showCatName val="0"/>
          <c:showSerName val="0"/>
          <c:showPercent val="0"/>
          <c:showBubbleSize val="0"/>
        </c:dLbls>
        <c:gapWidth val="41"/>
        <c:axId val="1719857008"/>
        <c:axId val="1719850768"/>
      </c:barChart>
      <c:catAx>
        <c:axId val="1719857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19850768"/>
        <c:crosses val="autoZero"/>
        <c:auto val="1"/>
        <c:lblAlgn val="ctr"/>
        <c:lblOffset val="100"/>
        <c:noMultiLvlLbl val="0"/>
      </c:catAx>
      <c:valAx>
        <c:axId val="1719850768"/>
        <c:scaling>
          <c:orientation val="minMax"/>
        </c:scaling>
        <c:delete val="1"/>
        <c:axPos val="l"/>
        <c:numFmt formatCode="General" sourceLinked="1"/>
        <c:majorTickMark val="none"/>
        <c:minorTickMark val="none"/>
        <c:tickLblPos val="nextTo"/>
        <c:crossAx val="171985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Commodities &amp; Sentiment Intelligence Terminal.xlsx]Sheet2!PivotTable1</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7A-4C42-B7B2-728D6B6577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7A-4C42-B7B2-728D6B65771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7A-4C42-B7B2-728D6B65771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7A-4C42-B7B2-728D6B65771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7A-4C42-B7B2-728D6B65771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67A-4C42-B7B2-728D6B65771B}"/>
              </c:ext>
            </c:extLst>
          </c:dPt>
          <c:cat>
            <c:strRef>
              <c:f>Sheet2!$A$4:$A$10</c:f>
              <c:strCache>
                <c:ptCount val="6"/>
                <c:pt idx="0">
                  <c:v>Cooling</c:v>
                </c:pt>
                <c:pt idx="1">
                  <c:v>Deep Dip</c:v>
                </c:pt>
                <c:pt idx="2">
                  <c:v>High Tension</c:v>
                </c:pt>
                <c:pt idx="3">
                  <c:v>Profit Taking</c:v>
                </c:pt>
                <c:pt idx="4">
                  <c:v>Recovery</c:v>
                </c:pt>
                <c:pt idx="5">
                  <c:v>(blank)</c:v>
                </c:pt>
              </c:strCache>
            </c:strRef>
          </c:cat>
          <c:val>
            <c:numRef>
              <c:f>Sheet2!$B$4:$B$10</c:f>
              <c:numCache>
                <c:formatCode>General</c:formatCode>
                <c:ptCount val="6"/>
                <c:pt idx="0">
                  <c:v>5122</c:v>
                </c:pt>
                <c:pt idx="1">
                  <c:v>4626</c:v>
                </c:pt>
                <c:pt idx="2">
                  <c:v>5360</c:v>
                </c:pt>
                <c:pt idx="3">
                  <c:v>4920</c:v>
                </c:pt>
                <c:pt idx="4">
                  <c:v>4898</c:v>
                </c:pt>
              </c:numCache>
            </c:numRef>
          </c:val>
          <c:extLst>
            <c:ext xmlns:c16="http://schemas.microsoft.com/office/drawing/2014/chart" uri="{C3380CC4-5D6E-409C-BE32-E72D297353CC}">
              <c16:uniqueId val="{00000000-DE91-4E49-A246-4AF4ED4F78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(Sheet1!$A$1:$A$30,Sheet1!$F$1:$F$30)</c:f>
              <c:multiLvlStrCache>
                <c:ptCount val="2"/>
                <c:lvl>
                  <c:pt idx="0">
                    <c:v>5/17/2026</c:v>
                  </c:pt>
                  <c:pt idx="1">
                    <c:v>Low</c:v>
                  </c:pt>
                </c:lvl>
                <c:lvl>
                  <c:pt idx="0">
                    <c:v>5/16/2026</c:v>
                  </c:pt>
                  <c:pt idx="1">
                    <c:v>Medium</c:v>
                  </c:pt>
                </c:lvl>
                <c:lvl>
                  <c:pt idx="0">
                    <c:v>5/15/2026</c:v>
                  </c:pt>
                  <c:pt idx="1">
                    <c:v>Medium</c:v>
                  </c:pt>
                </c:lvl>
                <c:lvl>
                  <c:pt idx="0">
                    <c:v>5/14/2026</c:v>
                  </c:pt>
                  <c:pt idx="1">
                    <c:v>High</c:v>
                  </c:pt>
                </c:lvl>
                <c:lvl>
                  <c:pt idx="0">
                    <c:v>5/13/2026</c:v>
                  </c:pt>
                  <c:pt idx="1">
                    <c:v>High</c:v>
                  </c:pt>
                </c:lvl>
                <c:lvl>
                  <c:pt idx="0">
                    <c:v>5/12/2026</c:v>
                  </c:pt>
                  <c:pt idx="1">
                    <c:v>High</c:v>
                  </c:pt>
                </c:lvl>
                <c:lvl>
                  <c:pt idx="0">
                    <c:v>5/11/2026</c:v>
                  </c:pt>
                  <c:pt idx="1">
                    <c:v>High</c:v>
                  </c:pt>
                </c:lvl>
                <c:lvl>
                  <c:pt idx="0">
                    <c:v>5/10/2026</c:v>
                  </c:pt>
                  <c:pt idx="1">
                    <c:v>High</c:v>
                  </c:pt>
                </c:lvl>
                <c:lvl>
                  <c:pt idx="0">
                    <c:v>5/9/2026</c:v>
                  </c:pt>
                  <c:pt idx="1">
                    <c:v>Low</c:v>
                  </c:pt>
                </c:lvl>
                <c:lvl>
                  <c:pt idx="0">
                    <c:v>5/8/2026</c:v>
                  </c:pt>
                  <c:pt idx="1">
                    <c:v>Low</c:v>
                  </c:pt>
                </c:lvl>
                <c:lvl>
                  <c:pt idx="0">
                    <c:v>5/7/2026</c:v>
                  </c:pt>
                  <c:pt idx="1">
                    <c:v>Low</c:v>
                  </c:pt>
                </c:lvl>
                <c:lvl>
                  <c:pt idx="0">
                    <c:v>5/6/2026</c:v>
                  </c:pt>
                  <c:pt idx="1">
                    <c:v>Medium</c:v>
                  </c:pt>
                </c:lvl>
                <c:lvl>
                  <c:pt idx="0">
                    <c:v>5/5/2026</c:v>
                  </c:pt>
                  <c:pt idx="1">
                    <c:v>Medium</c:v>
                  </c:pt>
                </c:lvl>
                <c:lvl>
                  <c:pt idx="0">
                    <c:v>5/4/2026</c:v>
                  </c:pt>
                  <c:pt idx="1">
                    <c:v>Low</c:v>
                  </c:pt>
                </c:lvl>
                <c:lvl>
                  <c:pt idx="0">
                    <c:v>5/3/2026</c:v>
                  </c:pt>
                  <c:pt idx="1">
                    <c:v>Low</c:v>
                  </c:pt>
                </c:lvl>
                <c:lvl>
                  <c:pt idx="0">
                    <c:v>5/2/2026</c:v>
                  </c:pt>
                  <c:pt idx="1">
                    <c:v>Low</c:v>
                  </c:pt>
                </c:lvl>
                <c:lvl>
                  <c:pt idx="0">
                    <c:v>5/1/2026</c:v>
                  </c:pt>
                  <c:pt idx="1">
                    <c:v>Low</c:v>
                  </c:pt>
                </c:lvl>
                <c:lvl>
                  <c:pt idx="0">
                    <c:v>4/30/2026</c:v>
                  </c:pt>
                  <c:pt idx="1">
                    <c:v>High</c:v>
                  </c:pt>
                </c:lvl>
                <c:lvl>
                  <c:pt idx="0">
                    <c:v>4/29/2026</c:v>
                  </c:pt>
                  <c:pt idx="1">
                    <c:v>High</c:v>
                  </c:pt>
                </c:lvl>
                <c:lvl>
                  <c:pt idx="0">
                    <c:v>4/28/2026</c:v>
                  </c:pt>
                  <c:pt idx="1">
                    <c:v>High</c:v>
                  </c:pt>
                </c:lvl>
                <c:lvl>
                  <c:pt idx="0">
                    <c:v>4/27/2026</c:v>
                  </c:pt>
                  <c:pt idx="1">
                    <c:v>Medium</c:v>
                  </c:pt>
                </c:lvl>
                <c:lvl>
                  <c:pt idx="0">
                    <c:v>4/26/2026</c:v>
                  </c:pt>
                  <c:pt idx="1">
                    <c:v>High</c:v>
                  </c:pt>
                </c:lvl>
                <c:lvl>
                  <c:pt idx="0">
                    <c:v>4/25/2026</c:v>
                  </c:pt>
                  <c:pt idx="1">
                    <c:v>High</c:v>
                  </c:pt>
                </c:lvl>
                <c:lvl>
                  <c:pt idx="0">
                    <c:v>4/24/2026</c:v>
                  </c:pt>
                  <c:pt idx="1">
                    <c:v>Medium</c:v>
                  </c:pt>
                </c:lvl>
                <c:lvl>
                  <c:pt idx="0">
                    <c:v>4/23/2026</c:v>
                  </c:pt>
                  <c:pt idx="1">
                    <c:v>High</c:v>
                  </c:pt>
                </c:lvl>
                <c:lvl>
                  <c:pt idx="0">
                    <c:v>4/22/2026</c:v>
                  </c:pt>
                  <c:pt idx="1">
                    <c:v>High</c:v>
                  </c:pt>
                </c:lvl>
                <c:lvl>
                  <c:pt idx="0">
                    <c:v>4/21/2026</c:v>
                  </c:pt>
                  <c:pt idx="1">
                    <c:v>Low</c:v>
                  </c:pt>
                </c:lvl>
                <c:lvl>
                  <c:pt idx="0">
                    <c:v>4/20/2026</c:v>
                  </c:pt>
                  <c:pt idx="1">
                    <c:v>Medium</c:v>
                  </c:pt>
                </c:lvl>
                <c:lvl>
                  <c:pt idx="0">
                    <c:v>4/19/2026</c:v>
                  </c:pt>
                  <c:pt idx="1">
                    <c:v>High</c:v>
                  </c:pt>
                </c:lvl>
                <c:lvl>
                  <c:pt idx="0">
                    <c:v>Date</c:v>
                  </c:pt>
                  <c:pt idx="1">
                    <c:v>valnerability</c:v>
                  </c:pt>
                </c:lvl>
              </c:multiLvlStrCache>
            </c:multiLvlStrRef>
          </c:cat>
          <c:val>
            <c:numRef>
              <c:f>(Sheet1!$A$31,Sheet1!$F$31)</c:f>
              <c:numCache>
                <c:formatCode>General</c:formatCode>
                <c:ptCount val="2"/>
              </c:numCache>
            </c:numRef>
          </c:val>
          <c:smooth val="0"/>
          <c:extLst>
            <c:ext xmlns:c16="http://schemas.microsoft.com/office/drawing/2014/chart" uri="{C3380CC4-5D6E-409C-BE32-E72D297353CC}">
              <c16:uniqueId val="{00000000-9949-46B5-9918-DCA5DAC9F007}"/>
            </c:ext>
          </c:extLst>
        </c:ser>
        <c:dLbls>
          <c:showLegendKey val="0"/>
          <c:showVal val="1"/>
          <c:showCatName val="0"/>
          <c:showSerName val="0"/>
          <c:showPercent val="0"/>
          <c:showBubbleSize val="0"/>
        </c:dLbls>
        <c:smooth val="0"/>
        <c:axId val="1649757152"/>
        <c:axId val="1649735520"/>
      </c:lineChart>
      <c:catAx>
        <c:axId val="1649757152"/>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35520"/>
        <c:crosses val="autoZero"/>
        <c:auto val="1"/>
        <c:lblAlgn val="ctr"/>
        <c:lblOffset val="100"/>
        <c:noMultiLvlLbl val="0"/>
      </c:catAx>
      <c:valAx>
        <c:axId val="164973552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crossAx val="1649757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5.8333333333333334E-2"/>
          <c:y val="0.2452548118985127"/>
          <c:w val="0.77012051618547683"/>
          <c:h val="0.75474518810148727"/>
        </c:manualLayout>
      </c:layout>
      <c:ofPieChart>
        <c:ofPieType val="pie"/>
        <c:varyColors val="1"/>
        <c:ser>
          <c:idx val="0"/>
          <c:order val="0"/>
          <c:tx>
            <c:strRef>
              <c:f>Sheet1!$C$1</c:f>
              <c:strCache>
                <c:ptCount val="1"/>
                <c:pt idx="0">
                  <c:v> Gold price </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B8-497C-A9E9-8B78AAA62B5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B8-497C-A9E9-8B78AAA62B5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B8-497C-A9E9-8B78AAA62B5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B8-497C-A9E9-8B78AAA62B5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3B8-497C-A9E9-8B78AAA62B5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3B8-497C-A9E9-8B78AAA62B5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3B8-497C-A9E9-8B78AAA62B5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3B8-497C-A9E9-8B78AAA62B5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3B8-497C-A9E9-8B78AAA62B5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3B8-497C-A9E9-8B78AAA62B5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3B8-497C-A9E9-8B78AAA62B5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3B8-497C-A9E9-8B78AAA62B5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3B8-497C-A9E9-8B78AAA62B5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3B8-497C-A9E9-8B78AAA62B5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63B8-497C-A9E9-8B78AAA62B5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63B8-497C-A9E9-8B78AAA62B5B}"/>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63B8-497C-A9E9-8B78AAA62B5B}"/>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63B8-497C-A9E9-8B78AAA62B5B}"/>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63B8-497C-A9E9-8B78AAA62B5B}"/>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63B8-497C-A9E9-8B78AAA62B5B}"/>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63B8-497C-A9E9-8B78AAA62B5B}"/>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63B8-497C-A9E9-8B78AAA62B5B}"/>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63B8-497C-A9E9-8B78AAA62B5B}"/>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63B8-497C-A9E9-8B78AAA62B5B}"/>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63B8-497C-A9E9-8B78AAA62B5B}"/>
              </c:ext>
            </c:extLst>
          </c:dPt>
          <c:dPt>
            <c:idx val="25"/>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63B8-497C-A9E9-8B78AAA62B5B}"/>
              </c:ext>
            </c:extLst>
          </c:dPt>
          <c:dPt>
            <c:idx val="26"/>
            <c:bubble3D val="0"/>
            <c:spPr>
              <a:solidFill>
                <a:schemeClr val="accent3">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63B8-497C-A9E9-8B78AAA62B5B}"/>
              </c:ext>
            </c:extLst>
          </c:dPt>
          <c:dPt>
            <c:idx val="27"/>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63B8-497C-A9E9-8B78AAA62B5B}"/>
              </c:ext>
            </c:extLst>
          </c:dPt>
          <c:dPt>
            <c:idx val="28"/>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63B8-497C-A9E9-8B78AAA62B5B}"/>
              </c:ext>
            </c:extLst>
          </c:dPt>
          <c:dPt>
            <c:idx val="29"/>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63B8-497C-A9E9-8B78AAA62B5B}"/>
              </c:ext>
            </c:extLst>
          </c:dPt>
          <c:dPt>
            <c:idx val="3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63B8-497C-A9E9-8B78AAA62B5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Sheet1!$A$2:$A$31</c:f>
              <c:numCache>
                <c:formatCode>m/d/yyyy</c:formatCode>
                <c:ptCount val="30"/>
                <c:pt idx="0">
                  <c:v>46131</c:v>
                </c:pt>
                <c:pt idx="1">
                  <c:v>46132</c:v>
                </c:pt>
                <c:pt idx="2">
                  <c:v>46133</c:v>
                </c:pt>
                <c:pt idx="3">
                  <c:v>46134</c:v>
                </c:pt>
                <c:pt idx="4">
                  <c:v>46135</c:v>
                </c:pt>
                <c:pt idx="5">
                  <c:v>46136</c:v>
                </c:pt>
                <c:pt idx="6">
                  <c:v>46137</c:v>
                </c:pt>
                <c:pt idx="7">
                  <c:v>46138</c:v>
                </c:pt>
                <c:pt idx="8">
                  <c:v>46139</c:v>
                </c:pt>
                <c:pt idx="9">
                  <c:v>46140</c:v>
                </c:pt>
                <c:pt idx="10">
                  <c:v>46141</c:v>
                </c:pt>
                <c:pt idx="11">
                  <c:v>46142</c:v>
                </c:pt>
                <c:pt idx="12">
                  <c:v>46143</c:v>
                </c:pt>
                <c:pt idx="13">
                  <c:v>46144</c:v>
                </c:pt>
                <c:pt idx="14">
                  <c:v>46145</c:v>
                </c:pt>
                <c:pt idx="15">
                  <c:v>46146</c:v>
                </c:pt>
                <c:pt idx="16">
                  <c:v>46147</c:v>
                </c:pt>
                <c:pt idx="17">
                  <c:v>46148</c:v>
                </c:pt>
                <c:pt idx="18">
                  <c:v>46149</c:v>
                </c:pt>
                <c:pt idx="19">
                  <c:v>46150</c:v>
                </c:pt>
                <c:pt idx="20">
                  <c:v>46151</c:v>
                </c:pt>
                <c:pt idx="21">
                  <c:v>46152</c:v>
                </c:pt>
                <c:pt idx="22">
                  <c:v>46153</c:v>
                </c:pt>
                <c:pt idx="23">
                  <c:v>46154</c:v>
                </c:pt>
                <c:pt idx="24">
                  <c:v>46155</c:v>
                </c:pt>
                <c:pt idx="25">
                  <c:v>46156</c:v>
                </c:pt>
                <c:pt idx="26">
                  <c:v>46157</c:v>
                </c:pt>
                <c:pt idx="27">
                  <c:v>46158</c:v>
                </c:pt>
                <c:pt idx="28">
                  <c:v>46159</c:v>
                </c:pt>
              </c:numCache>
            </c:numRef>
          </c:cat>
          <c:val>
            <c:numRef>
              <c:f>Sheet1!$C$2:$C$31</c:f>
              <c:numCache>
                <c:formatCode>_("$"* #,##0.00_);_("$"* \(#,##0.00\);_("$"* "-"??_);_(@_)</c:formatCode>
                <c:ptCount val="30"/>
                <c:pt idx="0">
                  <c:v>5100</c:v>
                </c:pt>
                <c:pt idx="1">
                  <c:v>4950</c:v>
                </c:pt>
                <c:pt idx="2">
                  <c:v>4800</c:v>
                </c:pt>
                <c:pt idx="3">
                  <c:v>5250</c:v>
                </c:pt>
                <c:pt idx="4">
                  <c:v>5300</c:v>
                </c:pt>
                <c:pt idx="5">
                  <c:v>5150</c:v>
                </c:pt>
                <c:pt idx="6">
                  <c:v>5000</c:v>
                </c:pt>
                <c:pt idx="7">
                  <c:v>5400</c:v>
                </c:pt>
                <c:pt idx="8">
                  <c:v>5500</c:v>
                </c:pt>
                <c:pt idx="9">
                  <c:v>5350</c:v>
                </c:pt>
                <c:pt idx="10">
                  <c:v>5420</c:v>
                </c:pt>
                <c:pt idx="11">
                  <c:v>5600</c:v>
                </c:pt>
                <c:pt idx="12">
                  <c:v>4400</c:v>
                </c:pt>
                <c:pt idx="13">
                  <c:v>4350</c:v>
                </c:pt>
                <c:pt idx="14">
                  <c:v>4500</c:v>
                </c:pt>
                <c:pt idx="15">
                  <c:v>4650</c:v>
                </c:pt>
                <c:pt idx="16">
                  <c:v>4700</c:v>
                </c:pt>
                <c:pt idx="17">
                  <c:v>4800</c:v>
                </c:pt>
                <c:pt idx="18">
                  <c:v>4620</c:v>
                </c:pt>
                <c:pt idx="19">
                  <c:v>4780</c:v>
                </c:pt>
                <c:pt idx="20">
                  <c:v>4850</c:v>
                </c:pt>
                <c:pt idx="21">
                  <c:v>5200</c:v>
                </c:pt>
                <c:pt idx="22">
                  <c:v>5350</c:v>
                </c:pt>
                <c:pt idx="23">
                  <c:v>5450</c:v>
                </c:pt>
                <c:pt idx="24">
                  <c:v>5380</c:v>
                </c:pt>
                <c:pt idx="25">
                  <c:v>5210</c:v>
                </c:pt>
                <c:pt idx="26">
                  <c:v>5180</c:v>
                </c:pt>
                <c:pt idx="27">
                  <c:v>5290</c:v>
                </c:pt>
                <c:pt idx="28">
                  <c:v>4980</c:v>
                </c:pt>
              </c:numCache>
            </c:numRef>
          </c:val>
          <c:extLst>
            <c:ext xmlns:c16="http://schemas.microsoft.com/office/drawing/2014/chart" uri="{C3380CC4-5D6E-409C-BE32-E72D297353CC}">
              <c16:uniqueId val="{0000003E-63B8-497C-A9E9-8B78AAA62B5B}"/>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581025</xdr:colOff>
      <xdr:row>0</xdr:row>
      <xdr:rowOff>61912</xdr:rowOff>
    </xdr:from>
    <xdr:to>
      <xdr:col>13</xdr:col>
      <xdr:colOff>276225</xdr:colOff>
      <xdr:row>14</xdr:row>
      <xdr:rowOff>138112</xdr:rowOff>
    </xdr:to>
    <xdr:graphicFrame macro="">
      <xdr:nvGraphicFramePr>
        <xdr:cNvPr id="2" name="Chart 1">
          <a:extLst>
            <a:ext uri="{FF2B5EF4-FFF2-40B4-BE49-F238E27FC236}">
              <a16:creationId xmlns:a16="http://schemas.microsoft.com/office/drawing/2014/main" id="{626A5B7D-FF7B-476D-8103-D7A82757F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76638</xdr:colOff>
      <xdr:row>12</xdr:row>
      <xdr:rowOff>4763</xdr:rowOff>
    </xdr:from>
    <xdr:to>
      <xdr:col>5</xdr:col>
      <xdr:colOff>581463</xdr:colOff>
      <xdr:row>26</xdr:row>
      <xdr:rowOff>80962</xdr:rowOff>
    </xdr:to>
    <xdr:graphicFrame macro="">
      <xdr:nvGraphicFramePr>
        <xdr:cNvPr id="3" name="Chart 2">
          <a:extLst>
            <a:ext uri="{FF2B5EF4-FFF2-40B4-BE49-F238E27FC236}">
              <a16:creationId xmlns:a16="http://schemas.microsoft.com/office/drawing/2014/main" id="{42D5ED6F-D1EB-4D0D-8EBD-93B51564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10214</xdr:colOff>
      <xdr:row>1</xdr:row>
      <xdr:rowOff>110435</xdr:rowOff>
    </xdr:from>
    <xdr:to>
      <xdr:col>6</xdr:col>
      <xdr:colOff>19739</xdr:colOff>
      <xdr:row>11</xdr:row>
      <xdr:rowOff>88624</xdr:rowOff>
    </xdr:to>
    <mc:AlternateContent xmlns:mc="http://schemas.openxmlformats.org/markup-compatibility/2006" xmlns:a14="http://schemas.microsoft.com/office/drawing/2010/main">
      <mc:Choice Requires="a14">
        <xdr:graphicFrame macro="">
          <xdr:nvGraphicFramePr>
            <xdr:cNvPr id="4" name="Market Vibe">
              <a:extLst>
                <a:ext uri="{FF2B5EF4-FFF2-40B4-BE49-F238E27FC236}">
                  <a16:creationId xmlns:a16="http://schemas.microsoft.com/office/drawing/2014/main" id="{22D3CBE3-75E1-490A-A5E7-63A2776D6915}"/>
                </a:ext>
              </a:extLst>
            </xdr:cNvPr>
            <xdr:cNvGraphicFramePr/>
          </xdr:nvGraphicFramePr>
          <xdr:xfrm>
            <a:off x="0" y="0"/>
            <a:ext cx="0" cy="0"/>
          </xdr:xfrm>
          <a:graphic>
            <a:graphicData uri="http://schemas.microsoft.com/office/drawing/2010/slicer">
              <sle:slicer xmlns:sle="http://schemas.microsoft.com/office/drawing/2010/slicer" name="Market Vibe"/>
            </a:graphicData>
          </a:graphic>
        </xdr:graphicFrame>
      </mc:Choice>
      <mc:Fallback xmlns="">
        <xdr:sp macro="" textlink="">
          <xdr:nvSpPr>
            <xdr:cNvPr id="0" name=""/>
            <xdr:cNvSpPr>
              <a:spLocks noTextEdit="1"/>
            </xdr:cNvSpPr>
          </xdr:nvSpPr>
          <xdr:spPr>
            <a:xfrm>
              <a:off x="2856766" y="296556"/>
              <a:ext cx="1848835" cy="1839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14</xdr:row>
      <xdr:rowOff>109537</xdr:rowOff>
    </xdr:from>
    <xdr:to>
      <xdr:col>13</xdr:col>
      <xdr:colOff>266700</xdr:colOff>
      <xdr:row>28</xdr:row>
      <xdr:rowOff>185737</xdr:rowOff>
    </xdr:to>
    <xdr:graphicFrame macro="">
      <xdr:nvGraphicFramePr>
        <xdr:cNvPr id="5" name="Chart 1">
          <a:extLst>
            <a:ext uri="{FF2B5EF4-FFF2-40B4-BE49-F238E27FC236}">
              <a16:creationId xmlns:a16="http://schemas.microsoft.com/office/drawing/2014/main" id="{3FCF2BBC-F5BA-4AFC-889F-8754C4521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342899</xdr:colOff>
      <xdr:row>0</xdr:row>
      <xdr:rowOff>33337</xdr:rowOff>
    </xdr:from>
    <xdr:to>
      <xdr:col>20</xdr:col>
      <xdr:colOff>561974</xdr:colOff>
      <xdr:row>14</xdr:row>
      <xdr:rowOff>161925</xdr:rowOff>
    </xdr:to>
    <xdr:graphicFrame macro="">
      <xdr:nvGraphicFramePr>
        <xdr:cNvPr id="6" name="Chart 2">
          <a:extLst>
            <a:ext uri="{FF2B5EF4-FFF2-40B4-BE49-F238E27FC236}">
              <a16:creationId xmlns:a16="http://schemas.microsoft.com/office/drawing/2014/main" id="{DF50E730-BE8B-4CF7-BF90-2F552981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5.658808564818" createdVersion="7" refreshedVersion="7" minRefreshableVersion="3" recordCount="30" xr:uid="{8D87D6FD-0D42-4C2A-AC3C-383BDAAA37BA}">
  <cacheSource type="worksheet">
    <worksheetSource ref="A1:D1048576" sheet="Sheet1"/>
  </cacheSource>
  <cacheFields count="4">
    <cacheField name="Date" numFmtId="0">
      <sharedItems containsNonDate="0" containsDate="1" containsString="0" containsBlank="1" minDate="2026-04-19T00:00:00" maxDate="2026-05-18T00:00:00"/>
    </cacheField>
    <cacheField name="scenario" numFmtId="0">
      <sharedItems containsBlank="1"/>
    </cacheField>
    <cacheField name="Gold price" numFmtId="44">
      <sharedItems containsString="0" containsBlank="1" containsNumber="1" containsInteger="1" minValue="4350" maxValue="5600"/>
    </cacheField>
    <cacheField name="Market Vibe" numFmtId="0">
      <sharedItems containsBlank="1" count="6">
        <s v="High Tension"/>
        <s v="Cooling"/>
        <s v="Profit Taking"/>
        <s v="Deep Dip"/>
        <s v="Recovery"/>
        <m/>
      </sharedItems>
    </cacheField>
  </cacheFields>
  <extLst>
    <ext xmlns:x14="http://schemas.microsoft.com/office/spreadsheetml/2009/9/main" uri="{725AE2AE-9491-48be-B2B4-4EB974FC3084}">
      <x14:pivotCacheDefinition pivotCacheId="1514772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6-04-19T00:00:00"/>
    <s v="Market peak"/>
    <n v="5100"/>
    <x v="0"/>
  </r>
  <r>
    <d v="2026-04-20T00:00:00"/>
    <s v="Peace talk"/>
    <n v="4950"/>
    <x v="1"/>
  </r>
  <r>
    <d v="2026-04-21T00:00:00"/>
    <s v="Correction"/>
    <n v="4800"/>
    <x v="2"/>
  </r>
  <r>
    <d v="2026-04-22T00:00:00"/>
    <s v="ceasefire fail"/>
    <n v="5250"/>
    <x v="0"/>
  </r>
  <r>
    <d v="2026-04-23T00:00:00"/>
    <s v="sanction imposed"/>
    <n v="5300"/>
    <x v="0"/>
  </r>
  <r>
    <d v="2026-04-24T00:00:00"/>
    <s v="UN security briefing"/>
    <n v="5150"/>
    <x v="1"/>
  </r>
  <r>
    <d v="2026-04-25T00:00:00"/>
    <s v="Currency volatillity"/>
    <n v="5000"/>
    <x v="2"/>
  </r>
  <r>
    <d v="2026-04-26T00:00:00"/>
    <s v="Boarder esclation"/>
    <n v="5400"/>
    <x v="0"/>
  </r>
  <r>
    <d v="2026-04-27T00:00:00"/>
    <s v="oil supply freeze"/>
    <n v="5500"/>
    <x v="1"/>
  </r>
  <r>
    <d v="2026-04-28T00:00:00"/>
    <s v="global market panic"/>
    <n v="5350"/>
    <x v="0"/>
  </r>
  <r>
    <d v="2026-04-29T00:00:00"/>
    <s v="ceasefire fail signed"/>
    <n v="5420"/>
    <x v="0"/>
  </r>
  <r>
    <d v="2026-04-30T00:00:00"/>
    <s v="Troops Withdraw"/>
    <n v="5600"/>
    <x v="0"/>
  </r>
  <r>
    <d v="2026-05-01T00:00:00"/>
    <s v="Market rebound"/>
    <n v="4400"/>
    <x v="3"/>
  </r>
  <r>
    <d v="2026-05-02T00:00:00"/>
    <s v="Assets unfrozen"/>
    <n v="4350"/>
    <x v="3"/>
  </r>
  <r>
    <d v="2026-05-03T00:00:00"/>
    <s v="Technical correction"/>
    <n v="4500"/>
    <x v="4"/>
  </r>
  <r>
    <d v="2026-05-04T00:00:00"/>
    <s v="Infrastructure pact"/>
    <n v="4650"/>
    <x v="4"/>
  </r>
  <r>
    <d v="2026-05-05T00:00:00"/>
    <s v="Central bank intervention"/>
    <n v="4700"/>
    <x v="2"/>
  </r>
  <r>
    <d v="2026-05-06T00:00:00"/>
    <s v="Economic stimulus"/>
    <n v="4800"/>
    <x v="1"/>
  </r>
  <r>
    <d v="2026-05-07T00:00:00"/>
    <s v="Commodity stabilization"/>
    <n v="4620"/>
    <x v="3"/>
  </r>
  <r>
    <d v="2026-05-08T00:00:00"/>
    <s v="Treaty Ratification"/>
    <n v="4780"/>
    <x v="3"/>
  </r>
  <r>
    <d v="2026-05-09T00:00:00"/>
    <s v="logistics corridirs open"/>
    <n v="4850"/>
    <x v="4"/>
  </r>
  <r>
    <d v="2026-05-10T00:00:00"/>
    <s v="Trade tariff reduction"/>
    <n v="5200"/>
    <x v="4"/>
  </r>
  <r>
    <d v="2026-05-11T00:00:00"/>
    <s v="Tech Sector surge"/>
    <n v="5350"/>
    <x v="0"/>
  </r>
  <r>
    <d v="2026-05-12T00:00:00"/>
    <s v="inflation fears strike"/>
    <n v="5450"/>
    <x v="0"/>
  </r>
  <r>
    <d v="2026-05-13T00:00:00"/>
    <s v="Bull run resumes"/>
    <n v="5380"/>
    <x v="0"/>
  </r>
  <r>
    <d v="2026-05-14T00:00:00"/>
    <s v="safe haven demand "/>
    <n v="5210"/>
    <x v="1"/>
  </r>
  <r>
    <d v="2026-05-15T00:00:00"/>
    <s v="Cyber attack rumors"/>
    <n v="5180"/>
    <x v="2"/>
  </r>
  <r>
    <d v="2026-05-16T00:00:00"/>
    <s v="Supply chain bottleneck"/>
    <n v="5290"/>
    <x v="4"/>
  </r>
  <r>
    <d v="2026-05-17T00:00:00"/>
    <s v="Peace envoy dispacthed"/>
    <n v="4980"/>
    <x v="3"/>
  </r>
  <r>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625D1-CF95-4DF4-A02E-240F22378452}"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10" firstHeaderRow="1" firstDataRow="1" firstDataCol="1"/>
  <pivotFields count="4">
    <pivotField showAll="0"/>
    <pivotField showAll="0"/>
    <pivotField dataField="1" showAll="0"/>
    <pivotField axis="axisRow" showAll="0">
      <items count="7">
        <item x="1"/>
        <item x="3"/>
        <item x="0"/>
        <item x="2"/>
        <item x="4"/>
        <item x="5"/>
        <item t="default"/>
      </items>
    </pivotField>
  </pivotFields>
  <rowFields count="1">
    <field x="3"/>
  </rowFields>
  <rowItems count="7">
    <i>
      <x/>
    </i>
    <i>
      <x v="1"/>
    </i>
    <i>
      <x v="2"/>
    </i>
    <i>
      <x v="3"/>
    </i>
    <i>
      <x v="4"/>
    </i>
    <i>
      <x v="5"/>
    </i>
    <i t="grand">
      <x/>
    </i>
  </rowItems>
  <colItems count="1">
    <i/>
  </colItems>
  <dataFields count="1">
    <dataField name="Average of Gold price" fld="2" subtotal="average" baseField="3" baseItem="0"/>
  </dataFields>
  <formats count="21">
    <format dxfId="20">
      <pivotArea type="all" dataOnly="0" outline="0" fieldPosition="0"/>
    </format>
    <format dxfId="19">
      <pivotArea outline="0" collapsedLevelsAreSubtotals="1" fieldPosition="0"/>
    </format>
    <format dxfId="18">
      <pivotArea field="3" type="button" dataOnly="0" labelOnly="1" outline="0" axis="axisRow" fieldPosition="0"/>
    </format>
    <format dxfId="17">
      <pivotArea dataOnly="0" labelOnly="1" fieldPosition="0">
        <references count="1">
          <reference field="3"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 dxfId="0">
      <pivotArea dataOnly="0" labelOnly="1" outline="0" axis="axisValues" fieldPosition="0"/>
    </format>
  </formats>
  <chartFormats count="7">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3" count="1" selected="0">
            <x v="0"/>
          </reference>
        </references>
      </pivotArea>
    </chartFormat>
    <chartFormat chart="23" format="2">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2"/>
          </reference>
        </references>
      </pivotArea>
    </chartFormat>
    <chartFormat chart="23" format="4">
      <pivotArea type="data" outline="0" fieldPosition="0">
        <references count="2">
          <reference field="4294967294" count="1" selected="0">
            <x v="0"/>
          </reference>
          <reference field="3" count="1" selected="0">
            <x v="3"/>
          </reference>
        </references>
      </pivotArea>
    </chartFormat>
    <chartFormat chart="23" format="5">
      <pivotArea type="data" outline="0" fieldPosition="0">
        <references count="2">
          <reference field="4294967294" count="1" selected="0">
            <x v="0"/>
          </reference>
          <reference field="3" count="1" selected="0">
            <x v="4"/>
          </reference>
        </references>
      </pivotArea>
    </chartFormat>
    <chartFormat chart="23"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Vibe" xr10:uid="{6CFF488A-3F82-4B6C-AE78-5C80DFB251CA}" sourceName="Market Vibe">
  <pivotTables>
    <pivotTable tabId="2" name="PivotTable1"/>
  </pivotTables>
  <data>
    <tabular pivotCacheId="1514772441">
      <items count="6">
        <i x="1" s="1"/>
        <i x="3" s="1"/>
        <i x="0" s="1"/>
        <i x="2" s="1"/>
        <i x="4"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Vibe" xr10:uid="{AD9634FD-3836-4B21-9E5E-B9744FB3D2FA}" cache="Slicer_Market_Vibe" caption="Market Vib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6CC8-F6E1-4114-80F6-605CAF484996}">
  <dimension ref="A1:C10"/>
  <sheetViews>
    <sheetView showGridLines="0" tabSelected="1" zoomScale="87" zoomScaleNormal="87" workbookViewId="0">
      <selection activeCell="P21" sqref="P21"/>
    </sheetView>
  </sheetViews>
  <sheetFormatPr defaultRowHeight="15" x14ac:dyDescent="0.25"/>
  <cols>
    <col min="1" max="1" width="13.140625" style="7" bestFit="1" customWidth="1"/>
    <col min="2" max="2" width="20.42578125" style="10" bestFit="1" customWidth="1"/>
    <col min="3" max="16384" width="9.140625" style="5"/>
  </cols>
  <sheetData>
    <row r="1" spans="1:3" x14ac:dyDescent="0.25">
      <c r="A1" s="6" t="s">
        <v>48</v>
      </c>
      <c r="B1" s="9"/>
      <c r="C1" s="4"/>
    </row>
    <row r="2" spans="1:3" x14ac:dyDescent="0.25">
      <c r="A2" s="6" t="s">
        <v>49</v>
      </c>
    </row>
    <row r="3" spans="1:3" x14ac:dyDescent="0.25">
      <c r="A3" s="7" t="s">
        <v>38</v>
      </c>
      <c r="B3" s="10" t="s">
        <v>41</v>
      </c>
    </row>
    <row r="4" spans="1:3" x14ac:dyDescent="0.25">
      <c r="A4" s="8" t="s">
        <v>34</v>
      </c>
      <c r="B4" s="11">
        <v>5122</v>
      </c>
    </row>
    <row r="5" spans="1:3" x14ac:dyDescent="0.25">
      <c r="A5" s="8" t="s">
        <v>36</v>
      </c>
      <c r="B5" s="11">
        <v>4626</v>
      </c>
    </row>
    <row r="6" spans="1:3" x14ac:dyDescent="0.25">
      <c r="A6" s="8" t="s">
        <v>33</v>
      </c>
      <c r="B6" s="11">
        <v>5360</v>
      </c>
    </row>
    <row r="7" spans="1:3" x14ac:dyDescent="0.25">
      <c r="A7" s="8" t="s">
        <v>35</v>
      </c>
      <c r="B7" s="11">
        <v>4920</v>
      </c>
    </row>
    <row r="8" spans="1:3" x14ac:dyDescent="0.25">
      <c r="A8" s="8" t="s">
        <v>37</v>
      </c>
      <c r="B8" s="11">
        <v>4898</v>
      </c>
      <c r="C8" s="5" t="s">
        <v>47</v>
      </c>
    </row>
    <row r="9" spans="1:3" x14ac:dyDescent="0.25">
      <c r="A9" s="8" t="s">
        <v>39</v>
      </c>
      <c r="B9" s="11"/>
    </row>
    <row r="10" spans="1:3" x14ac:dyDescent="0.25">
      <c r="A10" s="8" t="s">
        <v>40</v>
      </c>
      <c r="B10" s="11">
        <v>5052.0689655172409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043A9-ACD3-4030-8A0A-A7EF042FF88B}">
  <dimension ref="A1:F31"/>
  <sheetViews>
    <sheetView zoomScaleNormal="100" workbookViewId="0">
      <selection activeCell="C1" activeCellId="1" sqref="A1:A1048576 C1:C1048576"/>
    </sheetView>
  </sheetViews>
  <sheetFormatPr defaultRowHeight="15" x14ac:dyDescent="0.25"/>
  <cols>
    <col min="1" max="1" width="9.7109375" bestFit="1" customWidth="1"/>
    <col min="2" max="2" width="24.140625" bestFit="1" customWidth="1"/>
    <col min="3" max="3" width="10.5703125" style="2" bestFit="1" customWidth="1"/>
    <col min="4" max="4" width="12.42578125" bestFit="1" customWidth="1"/>
    <col min="5" max="5" width="11.5703125" bestFit="1" customWidth="1"/>
  </cols>
  <sheetData>
    <row r="1" spans="1:6" x14ac:dyDescent="0.25">
      <c r="A1" t="s">
        <v>0</v>
      </c>
      <c r="B1" t="s">
        <v>1</v>
      </c>
      <c r="C1" s="2" t="s">
        <v>2</v>
      </c>
      <c r="D1" t="s">
        <v>3</v>
      </c>
      <c r="E1" t="s">
        <v>42</v>
      </c>
      <c r="F1" t="s">
        <v>43</v>
      </c>
    </row>
    <row r="2" spans="1:6" x14ac:dyDescent="0.25">
      <c r="A2" s="1">
        <v>46131</v>
      </c>
      <c r="B2" t="s">
        <v>4</v>
      </c>
      <c r="C2" s="2">
        <v>5100</v>
      </c>
      <c r="D2" t="s">
        <v>33</v>
      </c>
      <c r="E2">
        <v>2.5</v>
      </c>
      <c r="F2" t="s">
        <v>44</v>
      </c>
    </row>
    <row r="3" spans="1:6" x14ac:dyDescent="0.25">
      <c r="A3" s="1">
        <v>46132</v>
      </c>
      <c r="B3" t="s">
        <v>5</v>
      </c>
      <c r="C3" s="2">
        <v>4950</v>
      </c>
      <c r="D3" t="s">
        <v>34</v>
      </c>
      <c r="E3">
        <v>1.8</v>
      </c>
      <c r="F3" t="s">
        <v>45</v>
      </c>
    </row>
    <row r="4" spans="1:6" x14ac:dyDescent="0.25">
      <c r="A4" s="1">
        <v>46133</v>
      </c>
      <c r="B4" t="s">
        <v>6</v>
      </c>
      <c r="C4" s="2">
        <v>4800</v>
      </c>
      <c r="D4" t="s">
        <v>35</v>
      </c>
      <c r="E4">
        <v>-1.2</v>
      </c>
      <c r="F4" t="s">
        <v>46</v>
      </c>
    </row>
    <row r="5" spans="1:6" x14ac:dyDescent="0.25">
      <c r="A5" s="1">
        <v>46134</v>
      </c>
      <c r="B5" t="s">
        <v>7</v>
      </c>
      <c r="C5" s="2">
        <v>5250</v>
      </c>
      <c r="D5" t="s">
        <v>33</v>
      </c>
      <c r="E5">
        <v>4.5</v>
      </c>
      <c r="F5" t="s">
        <v>44</v>
      </c>
    </row>
    <row r="6" spans="1:6" x14ac:dyDescent="0.25">
      <c r="A6" s="1">
        <v>46135</v>
      </c>
      <c r="B6" t="s">
        <v>8</v>
      </c>
      <c r="C6" s="2">
        <v>5300</v>
      </c>
      <c r="D6" t="s">
        <v>33</v>
      </c>
      <c r="E6">
        <v>5.2</v>
      </c>
      <c r="F6" t="s">
        <v>44</v>
      </c>
    </row>
    <row r="7" spans="1:6" x14ac:dyDescent="0.25">
      <c r="A7" s="1">
        <v>46136</v>
      </c>
      <c r="B7" t="s">
        <v>9</v>
      </c>
      <c r="C7" s="2">
        <v>5150</v>
      </c>
      <c r="D7" t="s">
        <v>34</v>
      </c>
      <c r="E7">
        <v>1.5</v>
      </c>
      <c r="F7" t="s">
        <v>45</v>
      </c>
    </row>
    <row r="8" spans="1:6" x14ac:dyDescent="0.25">
      <c r="A8" s="1">
        <v>46137</v>
      </c>
      <c r="B8" t="s">
        <v>10</v>
      </c>
      <c r="C8" s="2">
        <v>5000</v>
      </c>
      <c r="D8" t="s">
        <v>35</v>
      </c>
      <c r="E8">
        <v>-0.5</v>
      </c>
      <c r="F8" t="s">
        <v>44</v>
      </c>
    </row>
    <row r="9" spans="1:6" x14ac:dyDescent="0.25">
      <c r="A9" s="1">
        <v>46138</v>
      </c>
      <c r="B9" t="s">
        <v>11</v>
      </c>
      <c r="C9" s="2">
        <v>5400</v>
      </c>
      <c r="D9" t="s">
        <v>33</v>
      </c>
      <c r="E9">
        <v>5.8</v>
      </c>
      <c r="F9" t="s">
        <v>44</v>
      </c>
    </row>
    <row r="10" spans="1:6" x14ac:dyDescent="0.25">
      <c r="A10" s="1">
        <v>46139</v>
      </c>
      <c r="B10" t="s">
        <v>12</v>
      </c>
      <c r="C10" s="2">
        <v>5500</v>
      </c>
      <c r="D10" t="s">
        <v>34</v>
      </c>
      <c r="E10">
        <v>6</v>
      </c>
      <c r="F10" t="s">
        <v>45</v>
      </c>
    </row>
    <row r="11" spans="1:6" x14ac:dyDescent="0.25">
      <c r="A11" s="1">
        <v>46140</v>
      </c>
      <c r="B11" t="s">
        <v>13</v>
      </c>
      <c r="C11" s="2">
        <v>5350</v>
      </c>
      <c r="D11" t="s">
        <v>33</v>
      </c>
      <c r="E11">
        <v>6.7</v>
      </c>
      <c r="F11" t="s">
        <v>44</v>
      </c>
    </row>
    <row r="12" spans="1:6" x14ac:dyDescent="0.25">
      <c r="A12" s="1">
        <v>46141</v>
      </c>
      <c r="B12" t="s">
        <v>14</v>
      </c>
      <c r="C12" s="2">
        <v>5420</v>
      </c>
      <c r="D12" t="s">
        <v>33</v>
      </c>
      <c r="E12">
        <v>2.4</v>
      </c>
      <c r="F12" t="s">
        <v>44</v>
      </c>
    </row>
    <row r="13" spans="1:6" x14ac:dyDescent="0.25">
      <c r="A13" s="1">
        <v>46142</v>
      </c>
      <c r="B13" t="s">
        <v>15</v>
      </c>
      <c r="C13" s="2">
        <v>5600</v>
      </c>
      <c r="D13" t="s">
        <v>33</v>
      </c>
      <c r="E13">
        <v>5</v>
      </c>
      <c r="F13" t="s">
        <v>44</v>
      </c>
    </row>
    <row r="14" spans="1:6" x14ac:dyDescent="0.25">
      <c r="A14" s="1">
        <v>46143</v>
      </c>
      <c r="B14" t="s">
        <v>16</v>
      </c>
      <c r="C14" s="2">
        <v>4400</v>
      </c>
      <c r="D14" t="s">
        <v>36</v>
      </c>
      <c r="E14">
        <v>4.5999999999999996</v>
      </c>
      <c r="F14" t="s">
        <v>46</v>
      </c>
    </row>
    <row r="15" spans="1:6" x14ac:dyDescent="0.25">
      <c r="A15" s="1">
        <v>46144</v>
      </c>
      <c r="B15" t="s">
        <v>17</v>
      </c>
      <c r="C15" s="2">
        <v>4350</v>
      </c>
      <c r="D15" t="s">
        <v>36</v>
      </c>
      <c r="E15">
        <v>0.2</v>
      </c>
      <c r="F15" t="s">
        <v>46</v>
      </c>
    </row>
    <row r="16" spans="1:6" x14ac:dyDescent="0.25">
      <c r="A16" s="1">
        <v>46145</v>
      </c>
      <c r="B16" t="s">
        <v>18</v>
      </c>
      <c r="C16" s="2">
        <v>4500</v>
      </c>
      <c r="D16" t="s">
        <v>37</v>
      </c>
      <c r="E16">
        <v>4.8</v>
      </c>
      <c r="F16" t="s">
        <v>46</v>
      </c>
    </row>
    <row r="17" spans="1:6" x14ac:dyDescent="0.25">
      <c r="A17" s="1">
        <v>46146</v>
      </c>
      <c r="B17" t="s">
        <v>19</v>
      </c>
      <c r="C17" s="2">
        <v>4650</v>
      </c>
      <c r="D17" t="s">
        <v>37</v>
      </c>
      <c r="E17">
        <v>2.2999999999999998</v>
      </c>
      <c r="F17" t="s">
        <v>46</v>
      </c>
    </row>
    <row r="18" spans="1:6" x14ac:dyDescent="0.25">
      <c r="A18" s="1">
        <v>46147</v>
      </c>
      <c r="B18" t="s">
        <v>20</v>
      </c>
      <c r="C18" s="2">
        <v>4700</v>
      </c>
      <c r="D18" t="s">
        <v>35</v>
      </c>
      <c r="E18">
        <v>4.3</v>
      </c>
      <c r="F18" t="s">
        <v>45</v>
      </c>
    </row>
    <row r="19" spans="1:6" x14ac:dyDescent="0.25">
      <c r="A19" s="1">
        <v>46148</v>
      </c>
      <c r="B19" t="s">
        <v>21</v>
      </c>
      <c r="C19" s="2">
        <v>4800</v>
      </c>
      <c r="D19" t="s">
        <v>34</v>
      </c>
      <c r="E19">
        <v>3.4</v>
      </c>
      <c r="F19" t="s">
        <v>45</v>
      </c>
    </row>
    <row r="20" spans="1:6" x14ac:dyDescent="0.25">
      <c r="A20" s="1">
        <v>46149</v>
      </c>
      <c r="B20" t="s">
        <v>22</v>
      </c>
      <c r="C20" s="2">
        <v>4620</v>
      </c>
      <c r="D20" t="s">
        <v>36</v>
      </c>
      <c r="E20">
        <v>2.1</v>
      </c>
      <c r="F20" t="s">
        <v>46</v>
      </c>
    </row>
    <row r="21" spans="1:6" x14ac:dyDescent="0.25">
      <c r="A21" s="1">
        <v>46150</v>
      </c>
      <c r="B21" t="s">
        <v>23</v>
      </c>
      <c r="C21" s="2">
        <v>4780</v>
      </c>
      <c r="D21" t="s">
        <v>36</v>
      </c>
      <c r="E21">
        <v>5</v>
      </c>
      <c r="F21" t="s">
        <v>46</v>
      </c>
    </row>
    <row r="22" spans="1:6" x14ac:dyDescent="0.25">
      <c r="A22" s="1">
        <v>46151</v>
      </c>
      <c r="B22" t="s">
        <v>24</v>
      </c>
      <c r="C22" s="2">
        <v>4850</v>
      </c>
      <c r="D22" t="s">
        <v>37</v>
      </c>
      <c r="E22">
        <v>4.0999999999999996</v>
      </c>
      <c r="F22" t="s">
        <v>46</v>
      </c>
    </row>
    <row r="23" spans="1:6" x14ac:dyDescent="0.25">
      <c r="A23" s="1">
        <v>46152</v>
      </c>
      <c r="B23" t="s">
        <v>25</v>
      </c>
      <c r="C23" s="2">
        <v>5200</v>
      </c>
      <c r="D23" t="s">
        <v>37</v>
      </c>
      <c r="E23">
        <v>4.2</v>
      </c>
      <c r="F23" t="s">
        <v>44</v>
      </c>
    </row>
    <row r="24" spans="1:6" x14ac:dyDescent="0.25">
      <c r="A24" s="1">
        <v>46153</v>
      </c>
      <c r="B24" t="s">
        <v>26</v>
      </c>
      <c r="C24" s="2">
        <v>5350</v>
      </c>
      <c r="D24" t="s">
        <v>33</v>
      </c>
      <c r="E24">
        <v>4</v>
      </c>
      <c r="F24" t="s">
        <v>44</v>
      </c>
    </row>
    <row r="25" spans="1:6" x14ac:dyDescent="0.25">
      <c r="A25" s="1">
        <v>46154</v>
      </c>
      <c r="B25" t="s">
        <v>27</v>
      </c>
      <c r="C25" s="2">
        <v>5450</v>
      </c>
      <c r="D25" t="s">
        <v>33</v>
      </c>
      <c r="E25">
        <v>1.7</v>
      </c>
      <c r="F25" t="s">
        <v>44</v>
      </c>
    </row>
    <row r="26" spans="1:6" x14ac:dyDescent="0.25">
      <c r="A26" s="1">
        <v>46155</v>
      </c>
      <c r="B26" t="s">
        <v>28</v>
      </c>
      <c r="C26" s="2">
        <v>5380</v>
      </c>
      <c r="D26" t="s">
        <v>33</v>
      </c>
      <c r="E26">
        <v>6.5</v>
      </c>
      <c r="F26" t="s">
        <v>44</v>
      </c>
    </row>
    <row r="27" spans="1:6" x14ac:dyDescent="0.25">
      <c r="A27" s="1">
        <v>46156</v>
      </c>
      <c r="B27" t="s">
        <v>29</v>
      </c>
      <c r="C27" s="2">
        <v>5210</v>
      </c>
      <c r="D27" t="s">
        <v>34</v>
      </c>
      <c r="E27">
        <v>9</v>
      </c>
      <c r="F27" t="s">
        <v>44</v>
      </c>
    </row>
    <row r="28" spans="1:6" x14ac:dyDescent="0.25">
      <c r="A28" s="1">
        <v>46157</v>
      </c>
      <c r="B28" t="s">
        <v>30</v>
      </c>
      <c r="C28" s="2">
        <v>5180</v>
      </c>
      <c r="D28" t="s">
        <v>35</v>
      </c>
      <c r="E28">
        <v>7.3</v>
      </c>
      <c r="F28" t="s">
        <v>45</v>
      </c>
    </row>
    <row r="29" spans="1:6" x14ac:dyDescent="0.25">
      <c r="A29" s="1">
        <v>46158</v>
      </c>
      <c r="B29" t="s">
        <v>31</v>
      </c>
      <c r="C29" s="2">
        <v>5290</v>
      </c>
      <c r="D29" t="s">
        <v>37</v>
      </c>
      <c r="E29">
        <v>8.1999999999999993</v>
      </c>
      <c r="F29" t="s">
        <v>45</v>
      </c>
    </row>
    <row r="30" spans="1:6" x14ac:dyDescent="0.25">
      <c r="A30" s="1">
        <v>46159</v>
      </c>
      <c r="B30" t="s">
        <v>32</v>
      </c>
      <c r="C30" s="2">
        <v>4980</v>
      </c>
      <c r="D30" t="s">
        <v>36</v>
      </c>
      <c r="E30">
        <v>5.5</v>
      </c>
      <c r="F30" t="s">
        <v>46</v>
      </c>
    </row>
    <row r="31" spans="1:6" x14ac:dyDescent="0.25">
      <c r="F3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James</dc:creator>
  <cp:lastModifiedBy>Robert James</cp:lastModifiedBy>
  <cp:lastPrinted>2026-06-03T03:10:21Z</cp:lastPrinted>
  <dcterms:created xsi:type="dcterms:W3CDTF">2026-06-02T20:38:43Z</dcterms:created>
  <dcterms:modified xsi:type="dcterms:W3CDTF">2026-06-17T01:37:53Z</dcterms:modified>
</cp:coreProperties>
</file>